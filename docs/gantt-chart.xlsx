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rakul/Desktop/cs/4sem/researchproj/foodscraper/docs/"/>
    </mc:Choice>
  </mc:AlternateContent>
  <xr:revisionPtr revIDLastSave="0" documentId="13_ncr:1_{29EEF6F9-7B9C-4248-A0DE-C4ADC085DEDF}" xr6:coauthVersionLast="47" xr6:coauthVersionMax="47" xr10:uidLastSave="{00000000-0000-0000-0000-000000000000}"/>
  <bookViews>
    <workbookView xWindow="0" yWindow="660" windowWidth="29400" windowHeight="18460" xr2:uid="{00000000-000D-0000-FFFF-FFFF00000000}"/>
  </bookViews>
  <sheets>
    <sheet name="Project schedule" sheetId="11" r:id="rId1"/>
    <sheet name="About" sheetId="12" r:id="rId2"/>
  </sheets>
  <definedNames>
    <definedName name="Display_Week">'Project schedule'!$O$2</definedName>
    <definedName name="_xlnm.Print_Titles" localSheetId="0">'Project schedule'!$4:$6</definedName>
    <definedName name="Project_Start">'Project schedule'!$O$1</definedName>
    <definedName name="task_end" localSheetId="0">'Project schedule'!$D1</definedName>
    <definedName name="task_progress" localSheetId="0">'Project schedule'!#REF!</definedName>
    <definedName name="task_start" localSheetId="0">'Project schedule'!$C1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1" l="1"/>
  <c r="D14" i="11"/>
  <c r="D11" i="11"/>
  <c r="C13" i="11" s="1"/>
  <c r="D13" i="11" s="1"/>
  <c r="C14" i="11" s="1"/>
  <c r="F7" i="11"/>
  <c r="C15" i="11" l="1"/>
  <c r="D15" i="11" s="1"/>
  <c r="C17" i="11" s="1"/>
  <c r="C18" i="11" s="1"/>
  <c r="D18" i="11" s="1"/>
  <c r="F18" i="11"/>
  <c r="C21" i="11"/>
  <c r="D17" i="11"/>
  <c r="C9" i="11"/>
  <c r="C19" i="11" l="1"/>
  <c r="C22" i="11"/>
  <c r="D22" i="11" s="1"/>
  <c r="C23" i="11" s="1"/>
  <c r="D23" i="11" s="1"/>
  <c r="C24" i="11" s="1"/>
  <c r="D24" i="11" s="1"/>
  <c r="D9" i="11"/>
  <c r="C10" i="11" s="1"/>
  <c r="D10" i="11" s="1"/>
  <c r="G5" i="11"/>
  <c r="F27" i="11"/>
  <c r="F26" i="11"/>
  <c r="F20" i="11"/>
  <c r="F16" i="11"/>
  <c r="F12" i="11"/>
  <c r="F8" i="11"/>
  <c r="D19" i="11" l="1"/>
  <c r="F19" i="11"/>
  <c r="F17" i="11"/>
  <c r="F9" i="11"/>
  <c r="G6" i="11"/>
  <c r="F25" i="11" l="1"/>
  <c r="F10" i="11"/>
  <c r="F13" i="11"/>
  <c r="H5" i="11"/>
  <c r="I5" i="11" s="1"/>
  <c r="J5" i="11" s="1"/>
  <c r="K5" i="11" s="1"/>
  <c r="L5" i="11" s="1"/>
  <c r="M5" i="11" s="1"/>
  <c r="N5" i="11" s="1"/>
  <c r="G4" i="11"/>
  <c r="F24" i="11" l="1"/>
  <c r="F14" i="11"/>
  <c r="F11" i="11"/>
  <c r="N4" i="11"/>
  <c r="O5" i="11"/>
  <c r="P5" i="11" s="1"/>
  <c r="Q5" i="11" s="1"/>
  <c r="R5" i="11" s="1"/>
  <c r="S5" i="11" s="1"/>
  <c r="T5" i="11" s="1"/>
  <c r="U5" i="11" s="1"/>
  <c r="H6" i="11"/>
  <c r="F21" i="11" l="1"/>
  <c r="F15" i="11"/>
  <c r="U4" i="11"/>
  <c r="V5" i="11"/>
  <c r="W5" i="11" s="1"/>
  <c r="X5" i="11" s="1"/>
  <c r="Y5" i="11" s="1"/>
  <c r="Z5" i="11" s="1"/>
  <c r="AA5" i="11" s="1"/>
  <c r="AB5" i="11" s="1"/>
  <c r="I6" i="11"/>
  <c r="F23" i="11" l="1"/>
  <c r="F22" i="11"/>
  <c r="AC5" i="11"/>
  <c r="AD5" i="11" s="1"/>
  <c r="AE5" i="11" s="1"/>
  <c r="AF5" i="11" s="1"/>
  <c r="AG5" i="11" s="1"/>
  <c r="AH5" i="11" s="1"/>
  <c r="AB4" i="11"/>
  <c r="J6" i="11"/>
  <c r="AI5" i="11" l="1"/>
  <c r="AJ5" i="11" s="1"/>
  <c r="AK5" i="11" s="1"/>
  <c r="AL5" i="11" s="1"/>
  <c r="AM5" i="11" s="1"/>
  <c r="AN5" i="11" s="1"/>
  <c r="AO5" i="11" s="1"/>
  <c r="K6" i="11"/>
  <c r="AP5" i="11" l="1"/>
  <c r="AQ5" i="11" s="1"/>
  <c r="AI4" i="11"/>
  <c r="L6" i="11"/>
  <c r="AR5" i="11" l="1"/>
  <c r="AQ6" i="11"/>
  <c r="AP4" i="11"/>
  <c r="M6" i="11"/>
  <c r="AS5" i="11" l="1"/>
  <c r="AR6" i="11"/>
  <c r="AT5" i="11" l="1"/>
  <c r="AS6" i="11"/>
  <c r="N6" i="11"/>
  <c r="O6" i="11"/>
  <c r="AU5" i="11" l="1"/>
  <c r="AT6" i="11"/>
  <c r="P6" i="11"/>
  <c r="AV5" i="11" l="1"/>
  <c r="AW5" i="11" s="1"/>
  <c r="AU6" i="11"/>
  <c r="Q6" i="11"/>
  <c r="AW6" i="11" l="1"/>
  <c r="AX5" i="11"/>
  <c r="AW4" i="11"/>
  <c r="AV6" i="11"/>
  <c r="R6" i="11"/>
  <c r="AY5" i="11" l="1"/>
  <c r="AX6" i="11"/>
  <c r="S6" i="11"/>
  <c r="AY6" i="11" l="1"/>
  <c r="AZ5" i="11"/>
  <c r="T6" i="11"/>
  <c r="AZ6" i="11" l="1"/>
  <c r="BA5" i="11"/>
  <c r="U6" i="11"/>
  <c r="BA6" i="11" l="1"/>
  <c r="BB5" i="11"/>
  <c r="V6" i="11"/>
  <c r="BC5" i="11" l="1"/>
  <c r="BB6" i="11"/>
  <c r="W6" i="11"/>
  <c r="BC6" i="11" l="1"/>
  <c r="BD5" i="11"/>
  <c r="X6" i="11"/>
  <c r="BD6" i="11" l="1"/>
  <c r="BE5" i="11"/>
  <c r="BD4" i="11"/>
  <c r="Y6" i="11"/>
  <c r="BE6" i="11" l="1"/>
  <c r="BF5" i="11"/>
  <c r="Z6" i="11"/>
  <c r="BG5" i="11" l="1"/>
  <c r="BF6" i="11"/>
  <c r="AA6" i="11"/>
  <c r="BH5" i="11" l="1"/>
  <c r="BG6" i="11"/>
  <c r="AB6" i="11"/>
  <c r="BI5" i="11" l="1"/>
  <c r="BH6" i="11"/>
  <c r="AC6" i="11"/>
  <c r="BJ5" i="11" l="1"/>
  <c r="BK5" i="11" s="1"/>
  <c r="BI6" i="11"/>
  <c r="AD6" i="11"/>
  <c r="BL5" i="11" l="1"/>
  <c r="BK4" i="11"/>
  <c r="BK6" i="11"/>
  <c r="BJ6" i="11"/>
  <c r="AE6" i="11"/>
  <c r="BM5" i="11" l="1"/>
  <c r="BL6" i="11"/>
  <c r="AF6" i="11"/>
  <c r="BM6" i="11" l="1"/>
  <c r="BN5" i="11"/>
  <c r="AG6" i="11"/>
  <c r="BO5" i="11" l="1"/>
  <c r="BN6" i="11"/>
  <c r="AH6" i="11"/>
  <c r="BP5" i="11" l="1"/>
  <c r="BO6" i="11"/>
  <c r="AI6" i="11"/>
  <c r="BQ5" i="11" l="1"/>
  <c r="BP6" i="11"/>
  <c r="AJ6" i="11"/>
  <c r="BQ6" i="11" l="1"/>
  <c r="BR5" i="11"/>
  <c r="AK6" i="11"/>
  <c r="BR6" i="11" l="1"/>
  <c r="BR4" i="11"/>
  <c r="BS5" i="11"/>
  <c r="AL6" i="11"/>
  <c r="BS6" i="11" l="1"/>
  <c r="BT5" i="11"/>
  <c r="AM6" i="11"/>
  <c r="BT6" i="11" l="1"/>
  <c r="BU5" i="11"/>
  <c r="AN6" i="11"/>
  <c r="BV5" i="11" l="1"/>
  <c r="BU6" i="11"/>
  <c r="AO6" i="11"/>
  <c r="BW5" i="11" l="1"/>
  <c r="BV6" i="11"/>
  <c r="AP6" i="11"/>
  <c r="BW6" i="11" l="1"/>
  <c r="BX5" i="11"/>
  <c r="BX6" i="11" l="1"/>
  <c r="BY5" i="11"/>
  <c r="BZ5" i="11" l="1"/>
  <c r="BY4" i="11"/>
  <c r="BY6" i="11"/>
  <c r="CA5" i="11" l="1"/>
  <c r="BZ6" i="11"/>
  <c r="CB5" i="11" l="1"/>
  <c r="CA6" i="11"/>
  <c r="CC5" i="11" l="1"/>
  <c r="CB6" i="11"/>
  <c r="CD5" i="11" l="1"/>
  <c r="CC6" i="11"/>
  <c r="CE5" i="11" l="1"/>
  <c r="CD6" i="11"/>
  <c r="CE6" i="11" l="1"/>
  <c r="CF5" i="11"/>
  <c r="CG5" i="11" l="1"/>
  <c r="CF4" i="11"/>
  <c r="CF6" i="11"/>
  <c r="CH5" i="11" l="1"/>
  <c r="CG6" i="11"/>
  <c r="CI5" i="11" l="1"/>
  <c r="CH6" i="11"/>
  <c r="CI6" i="11" l="1"/>
  <c r="CJ5" i="11"/>
  <c r="CJ6" i="11" l="1"/>
  <c r="CK5" i="11"/>
  <c r="CK6" i="11" l="1"/>
  <c r="CL5" i="11"/>
  <c r="CL6" i="11" l="1"/>
  <c r="CM5" i="11"/>
  <c r="CN5" i="11" l="1"/>
  <c r="CM4" i="11"/>
  <c r="CM6" i="11"/>
  <c r="CN6" i="11" l="1"/>
  <c r="CO5" i="11"/>
  <c r="CP5" i="11" l="1"/>
  <c r="CO6" i="11"/>
  <c r="CQ5" i="11" l="1"/>
  <c r="CP6" i="11"/>
  <c r="CR5" i="11" l="1"/>
  <c r="CQ6" i="11"/>
  <c r="CR6" i="11" l="1"/>
  <c r="CS5" i="11"/>
  <c r="CS6" i="11" l="1"/>
  <c r="CT5" i="11"/>
  <c r="CT4" i="11" l="1"/>
  <c r="CT6" i="11"/>
  <c r="CU5" i="11"/>
  <c r="CU6" i="11" l="1"/>
  <c r="CV5" i="11"/>
  <c r="CV6" i="11" l="1"/>
  <c r="CW5" i="11"/>
  <c r="CW6" i="11" l="1"/>
  <c r="CX5" i="11"/>
  <c r="CY5" i="11" l="1"/>
  <c r="CX6" i="11"/>
  <c r="CY6" i="11" l="1"/>
  <c r="CZ5" i="11"/>
  <c r="CZ6" i="11" l="1"/>
  <c r="DA5" i="11"/>
  <c r="DB5" i="11" l="1"/>
  <c r="DA4" i="11"/>
  <c r="DA6" i="11"/>
  <c r="DB6" i="11" l="1"/>
  <c r="DC5" i="11"/>
  <c r="DD5" i="11" l="1"/>
  <c r="DC6" i="11"/>
  <c r="DD6" i="11" l="1"/>
  <c r="DE5" i="11"/>
  <c r="DF5" i="11" l="1"/>
  <c r="DE6" i="11"/>
  <c r="DF6" i="11" l="1"/>
  <c r="DG5" i="11"/>
  <c r="DG6" i="11" s="1"/>
</calcChain>
</file>

<file path=xl/sharedStrings.xml><?xml version="1.0" encoding="utf-8"?>
<sst xmlns="http://schemas.openxmlformats.org/spreadsheetml/2006/main" count="43" uniqueCount="43">
  <si>
    <t>Insert new rows ABOVE this one</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</si>
  <si>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</si>
  <si>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</si>
  <si>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</si>
  <si>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</si>
  <si>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</si>
  <si>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</si>
  <si>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</si>
  <si>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</si>
  <si>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</si>
  <si>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</si>
  <si>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</si>
  <si>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</si>
  <si>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</si>
  <si>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</si>
  <si>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</si>
  <si>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</si>
  <si>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</si>
  <si>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</si>
  <si>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</si>
  <si>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Project start:</t>
  </si>
  <si>
    <t>Display week:</t>
  </si>
  <si>
    <t>Evaluation</t>
  </si>
  <si>
    <t>Explore projects</t>
  </si>
  <si>
    <t>Define topic</t>
  </si>
  <si>
    <t>Project overview</t>
  </si>
  <si>
    <t>Research project domain</t>
  </si>
  <si>
    <t>Discover peer review</t>
  </si>
  <si>
    <t>Hand-in</t>
  </si>
  <si>
    <t>Preliminary Project Statement</t>
  </si>
  <si>
    <t>Technical Implementation</t>
  </si>
  <si>
    <t>Google Maps API</t>
  </si>
  <si>
    <t>Scraper</t>
  </si>
  <si>
    <t>Write report</t>
  </si>
  <si>
    <t>Wrap up report</t>
  </si>
  <si>
    <t>Buffer</t>
  </si>
  <si>
    <t>Have Report ready for Vedran</t>
  </si>
  <si>
    <t>Preprocess Data</t>
  </si>
  <si>
    <t>Research Project</t>
  </si>
  <si>
    <t>Food Scraper</t>
  </si>
  <si>
    <t>Student: Rakul Maria Hjalmarsdóttir Tórgarð</t>
  </si>
  <si>
    <t>Supervisor: Vedran Sekara</t>
  </si>
  <si>
    <t>Planning and knowledge gaining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</si>
</sst>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0"/>
      <color theme="9"/>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79998168889431442"/>
        <bgColor indexed="64"/>
      </patternFill>
    </fill>
  </fills>
  <borders count="2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indexed="64"/>
      </right>
      <top style="thin">
        <color indexed="64"/>
      </top>
      <bottom style="thin">
        <color indexed="64"/>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s>
  <cellStyleXfs count="12">
    <xf numFmtId="0" fontId="0" fillId="0" borderId="0"/>
    <xf numFmtId="0" fontId="2" fillId="0" borderId="0" applyNumberFormat="0" applyFill="0" applyBorder="0" applyAlignment="0" applyProtection="0">
      <alignment vertical="top"/>
      <protection locked="0"/>
    </xf>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2"/>
    <xf numFmtId="0" fontId="11" fillId="0" borderId="0" xfId="2"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4" fillId="0" borderId="0" xfId="0" applyFont="1"/>
    <xf numFmtId="168" fontId="17" fillId="12" borderId="20" xfId="0" applyNumberFormat="1" applyFont="1" applyFill="1" applyBorder="1" applyAlignment="1">
      <alignment horizontal="center" vertical="center"/>
    </xf>
    <xf numFmtId="168" fontId="17" fillId="12" borderId="18" xfId="0" applyNumberFormat="1" applyFont="1" applyFill="1" applyBorder="1" applyAlignment="1">
      <alignment horizontal="center" vertical="center"/>
    </xf>
    <xf numFmtId="168"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4" fillId="0" borderId="3" xfId="0" applyFont="1" applyBorder="1" applyAlignment="1">
      <alignment vertical="center"/>
    </xf>
    <xf numFmtId="0" fontId="19" fillId="6" borderId="0" xfId="0" applyFont="1" applyFill="1" applyAlignment="1">
      <alignment horizontal="left" vertical="center" indent="1"/>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1" applyFont="1" applyFill="1" applyBorder="1">
      <alignment horizontal="left" vertical="center" indent="2"/>
    </xf>
    <xf numFmtId="0" fontId="4" fillId="0" borderId="4" xfId="0" applyFont="1" applyBorder="1" applyAlignment="1">
      <alignment vertical="center"/>
    </xf>
    <xf numFmtId="0" fontId="15" fillId="3" borderId="7" xfId="11" applyFont="1" applyFill="1" applyBorder="1">
      <alignment horizontal="left" vertical="center" indent="2"/>
    </xf>
    <xf numFmtId="0" fontId="4" fillId="0" borderId="4" xfId="0" applyFont="1" applyBorder="1" applyAlignment="1">
      <alignment horizontal="right" vertical="center"/>
    </xf>
    <xf numFmtId="0" fontId="19" fillId="7" borderId="0" xfId="0" applyFont="1" applyFill="1" applyAlignment="1">
      <alignment horizontal="left" vertical="center" indent="1"/>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1" applyFont="1" applyFill="1" applyBorder="1">
      <alignment horizontal="left" vertical="center" indent="2"/>
    </xf>
    <xf numFmtId="0" fontId="19" fillId="8" borderId="0" xfId="0" applyFont="1" applyFill="1" applyAlignment="1">
      <alignment horizontal="left" vertical="center" indent="1"/>
    </xf>
    <xf numFmtId="165" fontId="15"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1" applyFont="1" applyFill="1" applyBorder="1">
      <alignment horizontal="left" vertical="center" indent="2"/>
    </xf>
    <xf numFmtId="0" fontId="19" fillId="9" borderId="0" xfId="0" applyFont="1" applyFill="1" applyAlignment="1">
      <alignment horizontal="left" vertical="center" indent="1"/>
    </xf>
    <xf numFmtId="0" fontId="4" fillId="0" borderId="10" xfId="0" applyFont="1" applyBorder="1" applyAlignment="1">
      <alignment vertical="center"/>
    </xf>
    <xf numFmtId="0" fontId="15" fillId="10" borderId="9" xfId="11" applyFont="1" applyFill="1" applyBorder="1">
      <alignment horizontal="left" vertical="center" indent="2"/>
    </xf>
    <xf numFmtId="0" fontId="15" fillId="0" borderId="0" xfId="11" applyFont="1" applyBorder="1">
      <alignment horizontal="left" vertical="center" indent="2"/>
    </xf>
    <xf numFmtId="165" fontId="15" fillId="0" borderId="0" xfId="9" applyFont="1" applyBorder="1">
      <alignment horizontal="center" vertical="center"/>
    </xf>
    <xf numFmtId="0" fontId="20" fillId="2" borderId="0" xfId="0" applyFont="1" applyFill="1" applyAlignment="1">
      <alignment horizontal="left" vertical="center" indent="1"/>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5"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2" xfId="0" applyFont="1" applyBorder="1" applyAlignment="1">
      <alignment vertical="center"/>
    </xf>
    <xf numFmtId="14" fontId="15" fillId="3" borderId="6" xfId="9" applyNumberFormat="1" applyFont="1" applyFill="1" applyBorder="1">
      <alignment horizontal="center" vertical="center"/>
    </xf>
    <xf numFmtId="14" fontId="15" fillId="3" borderId="7" xfId="9" applyNumberFormat="1" applyFont="1" applyFill="1" applyBorder="1">
      <alignment horizontal="center" vertical="center"/>
    </xf>
    <xf numFmtId="14" fontId="15" fillId="4" borderId="5" xfId="9" applyNumberFormat="1" applyFont="1" applyFill="1" applyBorder="1">
      <alignment horizontal="center" vertical="center"/>
    </xf>
    <xf numFmtId="14" fontId="15" fillId="5" borderId="8" xfId="9" applyNumberFormat="1" applyFont="1" applyFill="1" applyBorder="1">
      <alignment horizontal="center" vertical="center"/>
    </xf>
    <xf numFmtId="14" fontId="15" fillId="9" borderId="0" xfId="0" applyNumberFormat="1" applyFont="1" applyFill="1" applyAlignment="1">
      <alignment horizontal="center" vertical="center"/>
    </xf>
    <xf numFmtId="14" fontId="1" fillId="9" borderId="0" xfId="0" applyNumberFormat="1" applyFont="1" applyFill="1" applyAlignment="1">
      <alignment horizontal="center" vertical="center"/>
    </xf>
    <xf numFmtId="14" fontId="15" fillId="10" borderId="9" xfId="9" applyNumberFormat="1" applyFont="1" applyFill="1" applyBorder="1">
      <alignment horizontal="center" vertical="center"/>
    </xf>
    <xf numFmtId="0" fontId="4" fillId="13" borderId="4" xfId="0" applyFont="1" applyFill="1" applyBorder="1" applyAlignment="1">
      <alignment vertical="center"/>
    </xf>
    <xf numFmtId="0" fontId="16" fillId="10" borderId="9" xfId="11" applyFont="1" applyFill="1" applyBorder="1">
      <alignment horizontal="left" vertical="center" indent="2"/>
    </xf>
    <xf numFmtId="14" fontId="16" fillId="10" borderId="9" xfId="9" applyNumberFormat="1" applyFont="1" applyFill="1" applyBorder="1">
      <alignment horizontal="center" vertical="center"/>
    </xf>
    <xf numFmtId="0" fontId="25" fillId="0" borderId="0" xfId="4" applyFont="1" applyAlignment="1">
      <alignment horizontal="left" wrapText="1"/>
    </xf>
    <xf numFmtId="0" fontId="28" fillId="0" borderId="0" xfId="5" applyFont="1" applyAlignment="1">
      <alignment horizontal="left" vertical="center" indent="1"/>
    </xf>
    <xf numFmtId="0" fontId="28" fillId="0" borderId="0" xfId="5" applyFont="1" applyAlignment="1">
      <alignment horizontal="left" indent="1"/>
    </xf>
    <xf numFmtId="0" fontId="28" fillId="0" borderId="0" xfId="5" applyFont="1" applyAlignment="1">
      <alignment horizontal="left" vertical="top" indent="1"/>
    </xf>
    <xf numFmtId="167" fontId="15" fillId="2" borderId="13" xfId="0" applyNumberFormat="1" applyFont="1" applyFill="1" applyBorder="1" applyAlignment="1">
      <alignment horizontal="center" vertical="center" wrapText="1"/>
    </xf>
    <xf numFmtId="167" fontId="15" fillId="2" borderId="19"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24" fillId="0" borderId="0" xfId="0" applyFont="1"/>
    <xf numFmtId="14" fontId="23" fillId="0" borderId="0" xfId="8" applyNumberFormat="1" applyFont="1" applyBorder="1" applyAlignment="1">
      <alignment horizontal="left"/>
    </xf>
    <xf numFmtId="14" fontId="24" fillId="0" borderId="0" xfId="0" applyNumberFormat="1" applyFont="1"/>
    <xf numFmtId="0" fontId="22" fillId="0" borderId="0" xfId="7" applyFont="1" applyAlignment="1">
      <alignment horizontal="left"/>
    </xf>
    <xf numFmtId="0" fontId="4" fillId="0" borderId="0" xfId="0" applyFont="1"/>
    <xf numFmtId="0" fontId="11" fillId="0" borderId="0" xfId="2"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3">
    <dxf>
      <fill>
        <patternFill>
          <bgColor theme="8" tint="0.59996337778862885"/>
        </patternFill>
      </fill>
      <border>
        <left/>
        <right/>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tint="0.59996337778862885"/>
        </patternFill>
      </fill>
      <border>
        <left/>
        <right/>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2"/>
      <tableStyleElement type="headerRow" dxfId="21"/>
      <tableStyleElement type="totalRow" dxfId="20"/>
      <tableStyleElement type="firstColumn" dxfId="19"/>
      <tableStyleElement type="lastColumn" dxfId="18"/>
      <tableStyleElement type="firstRowStripe" dxfId="17"/>
      <tableStyleElement type="secondRowStripe" dxfId="16"/>
      <tableStyleElement type="firstColumnStripe" dxfId="15"/>
      <tableStyleElement type="secondColumnStripe"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G29"/>
  <sheetViews>
    <sheetView showGridLines="0" tabSelected="1" showRuler="0" zoomScale="75" zoomScaleNormal="100" zoomScalePageLayoutView="70" workbookViewId="0">
      <selection activeCell="B13" sqref="B13"/>
    </sheetView>
  </sheetViews>
  <sheetFormatPr baseColWidth="10" defaultColWidth="8.6640625" defaultRowHeight="30" customHeight="1" x14ac:dyDescent="0.15"/>
  <cols>
    <col min="1" max="1" width="2.6640625" style="12" customWidth="1"/>
    <col min="2" max="2" width="40.5" customWidth="1"/>
    <col min="3" max="3" width="10.6640625" style="2" customWidth="1"/>
    <col min="4" max="4" width="10.1640625" bestFit="1" customWidth="1"/>
    <col min="5" max="5" width="2.6640625" customWidth="1"/>
    <col min="6" max="6" width="6" hidden="1" customWidth="1"/>
    <col min="7" max="111" width="2.6640625" customWidth="1"/>
  </cols>
  <sheetData>
    <row r="1" spans="1:111" ht="138" customHeight="1" x14ac:dyDescent="0.85">
      <c r="A1" s="13"/>
      <c r="B1" s="79" t="s">
        <v>38</v>
      </c>
      <c r="C1" s="16"/>
      <c r="D1" s="17"/>
      <c r="F1" s="1"/>
      <c r="G1" s="92" t="s">
        <v>20</v>
      </c>
      <c r="H1" s="93"/>
      <c r="I1" s="93"/>
      <c r="J1" s="93"/>
      <c r="K1" s="93"/>
      <c r="L1" s="93"/>
      <c r="M1" s="93"/>
      <c r="N1" s="20"/>
      <c r="O1" s="90">
        <v>46062</v>
      </c>
      <c r="P1" s="91"/>
      <c r="Q1" s="91"/>
      <c r="R1" s="91"/>
      <c r="S1" s="91"/>
      <c r="T1" s="91"/>
      <c r="U1" s="91"/>
      <c r="V1" s="91"/>
      <c r="W1" s="91"/>
      <c r="X1" s="91"/>
    </row>
    <row r="2" spans="1:111" ht="30" customHeight="1" x14ac:dyDescent="0.4">
      <c r="B2" s="57" t="s">
        <v>39</v>
      </c>
      <c r="C2" s="19"/>
      <c r="D2" s="18"/>
      <c r="G2" s="92" t="s">
        <v>21</v>
      </c>
      <c r="H2" s="93"/>
      <c r="I2" s="93"/>
      <c r="J2" s="93"/>
      <c r="K2" s="93"/>
      <c r="L2" s="93"/>
      <c r="M2" s="93"/>
      <c r="N2" s="20"/>
      <c r="O2" s="88">
        <v>1</v>
      </c>
      <c r="P2" s="89"/>
      <c r="Q2" s="89"/>
      <c r="R2" s="89"/>
      <c r="S2" s="89"/>
      <c r="T2" s="89"/>
      <c r="U2" s="89"/>
      <c r="V2" s="89"/>
      <c r="W2" s="89"/>
      <c r="X2" s="89"/>
    </row>
    <row r="3" spans="1:111" s="21" customFormat="1" ht="30" customHeight="1" x14ac:dyDescent="0.15">
      <c r="A3" s="12"/>
      <c r="B3" s="81" t="s">
        <v>40</v>
      </c>
      <c r="C3" s="80"/>
      <c r="D3" s="80"/>
    </row>
    <row r="4" spans="1:111" s="21" customFormat="1" ht="30" customHeight="1" x14ac:dyDescent="0.15">
      <c r="A4" s="13"/>
      <c r="B4" s="82" t="s">
        <v>41</v>
      </c>
      <c r="C4" s="80"/>
      <c r="D4" s="80"/>
      <c r="G4" s="85">
        <f>G5</f>
        <v>46062</v>
      </c>
      <c r="H4" s="83"/>
      <c r="I4" s="83"/>
      <c r="J4" s="83"/>
      <c r="K4" s="83"/>
      <c r="L4" s="83"/>
      <c r="M4" s="83"/>
      <c r="N4" s="83">
        <f>N5</f>
        <v>46069</v>
      </c>
      <c r="O4" s="83"/>
      <c r="P4" s="83"/>
      <c r="Q4" s="83"/>
      <c r="R4" s="83"/>
      <c r="S4" s="83"/>
      <c r="T4" s="83"/>
      <c r="U4" s="83">
        <f>U5</f>
        <v>46076</v>
      </c>
      <c r="V4" s="83"/>
      <c r="W4" s="83"/>
      <c r="X4" s="83"/>
      <c r="Y4" s="83"/>
      <c r="Z4" s="83"/>
      <c r="AA4" s="83"/>
      <c r="AB4" s="83">
        <f>AB5</f>
        <v>46083</v>
      </c>
      <c r="AC4" s="83"/>
      <c r="AD4" s="83"/>
      <c r="AE4" s="83"/>
      <c r="AF4" s="83"/>
      <c r="AG4" s="83"/>
      <c r="AH4" s="83"/>
      <c r="AI4" s="83">
        <f>AI5</f>
        <v>46090</v>
      </c>
      <c r="AJ4" s="83"/>
      <c r="AK4" s="83"/>
      <c r="AL4" s="83"/>
      <c r="AM4" s="83"/>
      <c r="AN4" s="83"/>
      <c r="AO4" s="83"/>
      <c r="AP4" s="83">
        <f>AP5</f>
        <v>46097</v>
      </c>
      <c r="AQ4" s="83"/>
      <c r="AR4" s="83"/>
      <c r="AS4" s="83"/>
      <c r="AT4" s="83"/>
      <c r="AU4" s="83"/>
      <c r="AV4" s="83"/>
      <c r="AW4" s="83">
        <f>AW5</f>
        <v>46104</v>
      </c>
      <c r="AX4" s="83"/>
      <c r="AY4" s="83"/>
      <c r="AZ4" s="83"/>
      <c r="BA4" s="83"/>
      <c r="BB4" s="83"/>
      <c r="BC4" s="83"/>
      <c r="BD4" s="83">
        <f>BD5</f>
        <v>46111</v>
      </c>
      <c r="BE4" s="83"/>
      <c r="BF4" s="83"/>
      <c r="BG4" s="83"/>
      <c r="BH4" s="83"/>
      <c r="BI4" s="83"/>
      <c r="BJ4" s="84"/>
      <c r="BK4" s="83">
        <f>BK5</f>
        <v>46118</v>
      </c>
      <c r="BL4" s="83"/>
      <c r="BM4" s="83"/>
      <c r="BN4" s="83"/>
      <c r="BO4" s="83"/>
      <c r="BP4" s="83"/>
      <c r="BQ4" s="84"/>
      <c r="BR4" s="83">
        <f>BR5</f>
        <v>46125</v>
      </c>
      <c r="BS4" s="83"/>
      <c r="BT4" s="83"/>
      <c r="BU4" s="83"/>
      <c r="BV4" s="83"/>
      <c r="BW4" s="83"/>
      <c r="BX4" s="84"/>
      <c r="BY4" s="83">
        <f>BY5</f>
        <v>46132</v>
      </c>
      <c r="BZ4" s="83"/>
      <c r="CA4" s="83"/>
      <c r="CB4" s="83"/>
      <c r="CC4" s="83"/>
      <c r="CD4" s="83"/>
      <c r="CE4" s="84"/>
      <c r="CF4" s="83">
        <f>CF5</f>
        <v>46139</v>
      </c>
      <c r="CG4" s="83"/>
      <c r="CH4" s="83"/>
      <c r="CI4" s="83"/>
      <c r="CJ4" s="83"/>
      <c r="CK4" s="83"/>
      <c r="CL4" s="84"/>
      <c r="CM4" s="83">
        <f>CM5</f>
        <v>46146</v>
      </c>
      <c r="CN4" s="83"/>
      <c r="CO4" s="83"/>
      <c r="CP4" s="83"/>
      <c r="CQ4" s="83"/>
      <c r="CR4" s="83"/>
      <c r="CS4" s="84"/>
      <c r="CT4" s="83">
        <f>CT5</f>
        <v>46153</v>
      </c>
      <c r="CU4" s="83"/>
      <c r="CV4" s="83"/>
      <c r="CW4" s="83"/>
      <c r="CX4" s="83"/>
      <c r="CY4" s="83"/>
      <c r="CZ4" s="84"/>
      <c r="DA4" s="83">
        <f>DA5</f>
        <v>46160</v>
      </c>
      <c r="DB4" s="83"/>
      <c r="DC4" s="83"/>
      <c r="DD4" s="83"/>
      <c r="DE4" s="83"/>
      <c r="DF4" s="83"/>
      <c r="DG4" s="84"/>
    </row>
    <row r="5" spans="1:111" s="21" customFormat="1" ht="15" customHeight="1" x14ac:dyDescent="0.15">
      <c r="A5" s="94"/>
      <c r="B5" s="95" t="s">
        <v>4</v>
      </c>
      <c r="C5" s="86" t="s">
        <v>2</v>
      </c>
      <c r="D5" s="86" t="s">
        <v>3</v>
      </c>
      <c r="G5" s="22">
        <f>Project_Start-WEEKDAY(Project_Start,1)+2+7*(Display_Week-1)</f>
        <v>46062</v>
      </c>
      <c r="H5" s="22">
        <f>G5+1</f>
        <v>46063</v>
      </c>
      <c r="I5" s="22">
        <f t="shared" ref="I5:AV5" si="0">H5+1</f>
        <v>46064</v>
      </c>
      <c r="J5" s="22">
        <f t="shared" si="0"/>
        <v>46065</v>
      </c>
      <c r="K5" s="22">
        <f t="shared" si="0"/>
        <v>46066</v>
      </c>
      <c r="L5" s="22">
        <f t="shared" si="0"/>
        <v>46067</v>
      </c>
      <c r="M5" s="23">
        <f t="shared" si="0"/>
        <v>46068</v>
      </c>
      <c r="N5" s="24">
        <f>M5+1</f>
        <v>46069</v>
      </c>
      <c r="O5" s="22">
        <f>N5+1</f>
        <v>46070</v>
      </c>
      <c r="P5" s="22">
        <f t="shared" si="0"/>
        <v>46071</v>
      </c>
      <c r="Q5" s="22">
        <f t="shared" si="0"/>
        <v>46072</v>
      </c>
      <c r="R5" s="22">
        <f t="shared" si="0"/>
        <v>46073</v>
      </c>
      <c r="S5" s="22">
        <f t="shared" si="0"/>
        <v>46074</v>
      </c>
      <c r="T5" s="23">
        <f t="shared" si="0"/>
        <v>46075</v>
      </c>
      <c r="U5" s="24">
        <f>T5+1</f>
        <v>46076</v>
      </c>
      <c r="V5" s="22">
        <f>U5+1</f>
        <v>46077</v>
      </c>
      <c r="W5" s="22">
        <f t="shared" si="0"/>
        <v>46078</v>
      </c>
      <c r="X5" s="22">
        <f t="shared" si="0"/>
        <v>46079</v>
      </c>
      <c r="Y5" s="22">
        <f t="shared" si="0"/>
        <v>46080</v>
      </c>
      <c r="Z5" s="22">
        <f t="shared" si="0"/>
        <v>46081</v>
      </c>
      <c r="AA5" s="23">
        <f t="shared" si="0"/>
        <v>46082</v>
      </c>
      <c r="AB5" s="24">
        <f>AA5+1</f>
        <v>46083</v>
      </c>
      <c r="AC5" s="22">
        <f>AB5+1</f>
        <v>46084</v>
      </c>
      <c r="AD5" s="22">
        <f t="shared" si="0"/>
        <v>46085</v>
      </c>
      <c r="AE5" s="22">
        <f t="shared" si="0"/>
        <v>46086</v>
      </c>
      <c r="AF5" s="22">
        <f t="shared" si="0"/>
        <v>46087</v>
      </c>
      <c r="AG5" s="22">
        <f t="shared" si="0"/>
        <v>46088</v>
      </c>
      <c r="AH5" s="23">
        <f t="shared" si="0"/>
        <v>46089</v>
      </c>
      <c r="AI5" s="24">
        <f>AH5+1</f>
        <v>46090</v>
      </c>
      <c r="AJ5" s="22">
        <f>AI5+1</f>
        <v>46091</v>
      </c>
      <c r="AK5" s="22">
        <f t="shared" si="0"/>
        <v>46092</v>
      </c>
      <c r="AL5" s="22">
        <f t="shared" si="0"/>
        <v>46093</v>
      </c>
      <c r="AM5" s="22">
        <f t="shared" si="0"/>
        <v>46094</v>
      </c>
      <c r="AN5" s="22">
        <f t="shared" si="0"/>
        <v>46095</v>
      </c>
      <c r="AO5" s="23">
        <f t="shared" si="0"/>
        <v>46096</v>
      </c>
      <c r="AP5" s="24">
        <f>AO5+1</f>
        <v>46097</v>
      </c>
      <c r="AQ5" s="22">
        <f>AP5+1</f>
        <v>46098</v>
      </c>
      <c r="AR5" s="22">
        <f t="shared" si="0"/>
        <v>46099</v>
      </c>
      <c r="AS5" s="22">
        <f t="shared" si="0"/>
        <v>46100</v>
      </c>
      <c r="AT5" s="22">
        <f t="shared" si="0"/>
        <v>46101</v>
      </c>
      <c r="AU5" s="22">
        <f t="shared" si="0"/>
        <v>46102</v>
      </c>
      <c r="AV5" s="23">
        <f t="shared" si="0"/>
        <v>46103</v>
      </c>
      <c r="AW5" s="24">
        <f>AV5+1</f>
        <v>46104</v>
      </c>
      <c r="AX5" s="22">
        <f>AW5+1</f>
        <v>46105</v>
      </c>
      <c r="AY5" s="22">
        <f t="shared" ref="AY5:BC5" si="1">AX5+1</f>
        <v>46106</v>
      </c>
      <c r="AZ5" s="22">
        <f t="shared" si="1"/>
        <v>46107</v>
      </c>
      <c r="BA5" s="22">
        <f t="shared" si="1"/>
        <v>46108</v>
      </c>
      <c r="BB5" s="22">
        <f t="shared" si="1"/>
        <v>46109</v>
      </c>
      <c r="BC5" s="23">
        <f t="shared" si="1"/>
        <v>46110</v>
      </c>
      <c r="BD5" s="24">
        <f>BC5+1</f>
        <v>46111</v>
      </c>
      <c r="BE5" s="22">
        <f>BD5+1</f>
        <v>46112</v>
      </c>
      <c r="BF5" s="22">
        <f t="shared" ref="BF5:BJ5" si="2">BE5+1</f>
        <v>46113</v>
      </c>
      <c r="BG5" s="22">
        <f t="shared" si="2"/>
        <v>46114</v>
      </c>
      <c r="BH5" s="22">
        <f t="shared" si="2"/>
        <v>46115</v>
      </c>
      <c r="BI5" s="22">
        <f t="shared" si="2"/>
        <v>46116</v>
      </c>
      <c r="BJ5" s="22">
        <f t="shared" si="2"/>
        <v>46117</v>
      </c>
      <c r="BK5" s="24">
        <f>BJ5+1</f>
        <v>46118</v>
      </c>
      <c r="BL5" s="22">
        <f>BK5+1</f>
        <v>46119</v>
      </c>
      <c r="BM5" s="22">
        <f t="shared" ref="BM5" si="3">BL5+1</f>
        <v>46120</v>
      </c>
      <c r="BN5" s="22">
        <f t="shared" ref="BN5" si="4">BM5+1</f>
        <v>46121</v>
      </c>
      <c r="BO5" s="22">
        <f t="shared" ref="BO5" si="5">BN5+1</f>
        <v>46122</v>
      </c>
      <c r="BP5" s="22">
        <f t="shared" ref="BP5" si="6">BO5+1</f>
        <v>46123</v>
      </c>
      <c r="BQ5" s="22">
        <f t="shared" ref="BQ5" si="7">BP5+1</f>
        <v>46124</v>
      </c>
      <c r="BR5" s="24">
        <f>BQ5+1</f>
        <v>46125</v>
      </c>
      <c r="BS5" s="22">
        <f>BR5+1</f>
        <v>46126</v>
      </c>
      <c r="BT5" s="22">
        <f t="shared" ref="BT5" si="8">BS5+1</f>
        <v>46127</v>
      </c>
      <c r="BU5" s="22">
        <f t="shared" ref="BU5" si="9">BT5+1</f>
        <v>46128</v>
      </c>
      <c r="BV5" s="22">
        <f t="shared" ref="BV5" si="10">BU5+1</f>
        <v>46129</v>
      </c>
      <c r="BW5" s="22">
        <f t="shared" ref="BW5" si="11">BV5+1</f>
        <v>46130</v>
      </c>
      <c r="BX5" s="22">
        <f t="shared" ref="BX5" si="12">BW5+1</f>
        <v>46131</v>
      </c>
      <c r="BY5" s="24">
        <f>BX5+1</f>
        <v>46132</v>
      </c>
      <c r="BZ5" s="22">
        <f>BY5+1</f>
        <v>46133</v>
      </c>
      <c r="CA5" s="22">
        <f t="shared" ref="CA5" si="13">BZ5+1</f>
        <v>46134</v>
      </c>
      <c r="CB5" s="22">
        <f t="shared" ref="CB5" si="14">CA5+1</f>
        <v>46135</v>
      </c>
      <c r="CC5" s="22">
        <f t="shared" ref="CC5" si="15">CB5+1</f>
        <v>46136</v>
      </c>
      <c r="CD5" s="22">
        <f t="shared" ref="CD5" si="16">CC5+1</f>
        <v>46137</v>
      </c>
      <c r="CE5" s="22">
        <f t="shared" ref="CE5" si="17">CD5+1</f>
        <v>46138</v>
      </c>
      <c r="CF5" s="24">
        <f>CE5+1</f>
        <v>46139</v>
      </c>
      <c r="CG5" s="22">
        <f>CF5+1</f>
        <v>46140</v>
      </c>
      <c r="CH5" s="22">
        <f t="shared" ref="CH5" si="18">CG5+1</f>
        <v>46141</v>
      </c>
      <c r="CI5" s="22">
        <f t="shared" ref="CI5" si="19">CH5+1</f>
        <v>46142</v>
      </c>
      <c r="CJ5" s="22">
        <f t="shared" ref="CJ5" si="20">CI5+1</f>
        <v>46143</v>
      </c>
      <c r="CK5" s="22">
        <f t="shared" ref="CK5" si="21">CJ5+1</f>
        <v>46144</v>
      </c>
      <c r="CL5" s="22">
        <f t="shared" ref="CL5" si="22">CK5+1</f>
        <v>46145</v>
      </c>
      <c r="CM5" s="24">
        <f>CL5+1</f>
        <v>46146</v>
      </c>
      <c r="CN5" s="22">
        <f>CM5+1</f>
        <v>46147</v>
      </c>
      <c r="CO5" s="22">
        <f t="shared" ref="CO5" si="23">CN5+1</f>
        <v>46148</v>
      </c>
      <c r="CP5" s="22">
        <f t="shared" ref="CP5" si="24">CO5+1</f>
        <v>46149</v>
      </c>
      <c r="CQ5" s="22">
        <f t="shared" ref="CQ5" si="25">CP5+1</f>
        <v>46150</v>
      </c>
      <c r="CR5" s="22">
        <f t="shared" ref="CR5" si="26">CQ5+1</f>
        <v>46151</v>
      </c>
      <c r="CS5" s="22">
        <f t="shared" ref="CS5" si="27">CR5+1</f>
        <v>46152</v>
      </c>
      <c r="CT5" s="24">
        <f>CS5+1</f>
        <v>46153</v>
      </c>
      <c r="CU5" s="22">
        <f>CT5+1</f>
        <v>46154</v>
      </c>
      <c r="CV5" s="22">
        <f t="shared" ref="CV5" si="28">CU5+1</f>
        <v>46155</v>
      </c>
      <c r="CW5" s="22">
        <f t="shared" ref="CW5" si="29">CV5+1</f>
        <v>46156</v>
      </c>
      <c r="CX5" s="22">
        <f t="shared" ref="CX5" si="30">CW5+1</f>
        <v>46157</v>
      </c>
      <c r="CY5" s="22">
        <f t="shared" ref="CY5" si="31">CX5+1</f>
        <v>46158</v>
      </c>
      <c r="CZ5" s="22">
        <f t="shared" ref="CZ5" si="32">CY5+1</f>
        <v>46159</v>
      </c>
      <c r="DA5" s="24">
        <f>CZ5+1</f>
        <v>46160</v>
      </c>
      <c r="DB5" s="22">
        <f>DA5+1</f>
        <v>46161</v>
      </c>
      <c r="DC5" s="22">
        <f t="shared" ref="DC5" si="33">DB5+1</f>
        <v>46162</v>
      </c>
      <c r="DD5" s="22">
        <f t="shared" ref="DD5" si="34">DC5+1</f>
        <v>46163</v>
      </c>
      <c r="DE5" s="22">
        <f t="shared" ref="DE5" si="35">DD5+1</f>
        <v>46164</v>
      </c>
      <c r="DF5" s="22">
        <f t="shared" ref="DF5" si="36">DE5+1</f>
        <v>46165</v>
      </c>
      <c r="DG5" s="22">
        <f t="shared" ref="DG5" si="37">DF5+1</f>
        <v>46166</v>
      </c>
    </row>
    <row r="6" spans="1:111" s="21" customFormat="1" ht="15" customHeight="1" thickBot="1" x14ac:dyDescent="0.2">
      <c r="A6" s="94"/>
      <c r="B6" s="96"/>
      <c r="C6" s="87"/>
      <c r="D6" s="87"/>
      <c r="G6" s="25" t="str">
        <f t="shared" ref="G6:AL6" si="38">LEFT(TEXT(G5,"ddd"),1)</f>
        <v>M</v>
      </c>
      <c r="H6" s="26" t="str">
        <f t="shared" si="38"/>
        <v>T</v>
      </c>
      <c r="I6" s="26" t="str">
        <f t="shared" si="38"/>
        <v>W</v>
      </c>
      <c r="J6" s="26" t="str">
        <f t="shared" si="38"/>
        <v>T</v>
      </c>
      <c r="K6" s="26" t="str">
        <f t="shared" si="38"/>
        <v>F</v>
      </c>
      <c r="L6" s="26" t="str">
        <f t="shared" si="38"/>
        <v>S</v>
      </c>
      <c r="M6" s="26" t="str">
        <f t="shared" si="38"/>
        <v>S</v>
      </c>
      <c r="N6" s="26" t="str">
        <f t="shared" si="38"/>
        <v>M</v>
      </c>
      <c r="O6" s="26" t="str">
        <f t="shared" si="38"/>
        <v>T</v>
      </c>
      <c r="P6" s="26" t="str">
        <f t="shared" si="38"/>
        <v>W</v>
      </c>
      <c r="Q6" s="26" t="str">
        <f t="shared" si="38"/>
        <v>T</v>
      </c>
      <c r="R6" s="26" t="str">
        <f t="shared" si="38"/>
        <v>F</v>
      </c>
      <c r="S6" s="26" t="str">
        <f t="shared" si="38"/>
        <v>S</v>
      </c>
      <c r="T6" s="26" t="str">
        <f t="shared" si="38"/>
        <v>S</v>
      </c>
      <c r="U6" s="26" t="str">
        <f t="shared" si="38"/>
        <v>M</v>
      </c>
      <c r="V6" s="26" t="str">
        <f t="shared" si="38"/>
        <v>T</v>
      </c>
      <c r="W6" s="26" t="str">
        <f t="shared" si="38"/>
        <v>W</v>
      </c>
      <c r="X6" s="26" t="str">
        <f t="shared" si="38"/>
        <v>T</v>
      </c>
      <c r="Y6" s="26" t="str">
        <f t="shared" si="38"/>
        <v>F</v>
      </c>
      <c r="Z6" s="26" t="str">
        <f t="shared" si="38"/>
        <v>S</v>
      </c>
      <c r="AA6" s="26" t="str">
        <f t="shared" si="38"/>
        <v>S</v>
      </c>
      <c r="AB6" s="26" t="str">
        <f t="shared" si="38"/>
        <v>M</v>
      </c>
      <c r="AC6" s="26" t="str">
        <f t="shared" si="38"/>
        <v>T</v>
      </c>
      <c r="AD6" s="26" t="str">
        <f t="shared" si="38"/>
        <v>W</v>
      </c>
      <c r="AE6" s="26" t="str">
        <f t="shared" si="38"/>
        <v>T</v>
      </c>
      <c r="AF6" s="26" t="str">
        <f t="shared" si="38"/>
        <v>F</v>
      </c>
      <c r="AG6" s="26" t="str">
        <f t="shared" si="38"/>
        <v>S</v>
      </c>
      <c r="AH6" s="26" t="str">
        <f t="shared" si="38"/>
        <v>S</v>
      </c>
      <c r="AI6" s="26" t="str">
        <f t="shared" si="38"/>
        <v>M</v>
      </c>
      <c r="AJ6" s="26" t="str">
        <f t="shared" si="38"/>
        <v>T</v>
      </c>
      <c r="AK6" s="26" t="str">
        <f t="shared" si="38"/>
        <v>W</v>
      </c>
      <c r="AL6" s="26" t="str">
        <f t="shared" si="38"/>
        <v>T</v>
      </c>
      <c r="AM6" s="26" t="str">
        <f t="shared" ref="AM6:BJ6" si="39">LEFT(TEXT(AM5,"ddd"),1)</f>
        <v>F</v>
      </c>
      <c r="AN6" s="26" t="str">
        <f t="shared" si="39"/>
        <v>S</v>
      </c>
      <c r="AO6" s="26" t="str">
        <f t="shared" si="39"/>
        <v>S</v>
      </c>
      <c r="AP6" s="26" t="str">
        <f t="shared" si="39"/>
        <v>M</v>
      </c>
      <c r="AQ6" s="26" t="str">
        <f t="shared" si="39"/>
        <v>T</v>
      </c>
      <c r="AR6" s="26" t="str">
        <f t="shared" si="39"/>
        <v>W</v>
      </c>
      <c r="AS6" s="26" t="str">
        <f t="shared" si="39"/>
        <v>T</v>
      </c>
      <c r="AT6" s="26" t="str">
        <f t="shared" si="39"/>
        <v>F</v>
      </c>
      <c r="AU6" s="26" t="str">
        <f t="shared" si="39"/>
        <v>S</v>
      </c>
      <c r="AV6" s="26" t="str">
        <f t="shared" si="39"/>
        <v>S</v>
      </c>
      <c r="AW6" s="26" t="str">
        <f t="shared" si="39"/>
        <v>M</v>
      </c>
      <c r="AX6" s="26" t="str">
        <f t="shared" si="39"/>
        <v>T</v>
      </c>
      <c r="AY6" s="26" t="str">
        <f t="shared" si="39"/>
        <v>W</v>
      </c>
      <c r="AZ6" s="26" t="str">
        <f t="shared" si="39"/>
        <v>T</v>
      </c>
      <c r="BA6" s="26" t="str">
        <f t="shared" si="39"/>
        <v>F</v>
      </c>
      <c r="BB6" s="26" t="str">
        <f t="shared" si="39"/>
        <v>S</v>
      </c>
      <c r="BC6" s="26" t="str">
        <f t="shared" si="39"/>
        <v>S</v>
      </c>
      <c r="BD6" s="26" t="str">
        <f t="shared" si="39"/>
        <v>M</v>
      </c>
      <c r="BE6" s="26" t="str">
        <f t="shared" si="39"/>
        <v>T</v>
      </c>
      <c r="BF6" s="26" t="str">
        <f t="shared" si="39"/>
        <v>W</v>
      </c>
      <c r="BG6" s="26" t="str">
        <f t="shared" si="39"/>
        <v>T</v>
      </c>
      <c r="BH6" s="26" t="str">
        <f t="shared" si="39"/>
        <v>F</v>
      </c>
      <c r="BI6" s="26" t="str">
        <f t="shared" si="39"/>
        <v>S</v>
      </c>
      <c r="BJ6" s="27" t="str">
        <f t="shared" si="39"/>
        <v>S</v>
      </c>
      <c r="BK6" s="26" t="str">
        <f t="shared" ref="BK6:DG6" si="40">LEFT(TEXT(BK5,"ddd"),1)</f>
        <v>M</v>
      </c>
      <c r="BL6" s="26" t="str">
        <f t="shared" si="40"/>
        <v>T</v>
      </c>
      <c r="BM6" s="26" t="str">
        <f t="shared" si="40"/>
        <v>W</v>
      </c>
      <c r="BN6" s="26" t="str">
        <f t="shared" si="40"/>
        <v>T</v>
      </c>
      <c r="BO6" s="26" t="str">
        <f t="shared" si="40"/>
        <v>F</v>
      </c>
      <c r="BP6" s="26" t="str">
        <f t="shared" si="40"/>
        <v>S</v>
      </c>
      <c r="BQ6" s="27" t="str">
        <f t="shared" si="40"/>
        <v>S</v>
      </c>
      <c r="BR6" s="26" t="str">
        <f t="shared" si="40"/>
        <v>M</v>
      </c>
      <c r="BS6" s="26" t="str">
        <f t="shared" si="40"/>
        <v>T</v>
      </c>
      <c r="BT6" s="26" t="str">
        <f t="shared" si="40"/>
        <v>W</v>
      </c>
      <c r="BU6" s="26" t="str">
        <f t="shared" si="40"/>
        <v>T</v>
      </c>
      <c r="BV6" s="26" t="str">
        <f t="shared" si="40"/>
        <v>F</v>
      </c>
      <c r="BW6" s="26" t="str">
        <f t="shared" si="40"/>
        <v>S</v>
      </c>
      <c r="BX6" s="27" t="str">
        <f t="shared" si="40"/>
        <v>S</v>
      </c>
      <c r="BY6" s="26" t="str">
        <f t="shared" si="40"/>
        <v>M</v>
      </c>
      <c r="BZ6" s="26" t="str">
        <f t="shared" si="40"/>
        <v>T</v>
      </c>
      <c r="CA6" s="26" t="str">
        <f t="shared" si="40"/>
        <v>W</v>
      </c>
      <c r="CB6" s="26" t="str">
        <f t="shared" si="40"/>
        <v>T</v>
      </c>
      <c r="CC6" s="26" t="str">
        <f t="shared" si="40"/>
        <v>F</v>
      </c>
      <c r="CD6" s="26" t="str">
        <f t="shared" si="40"/>
        <v>S</v>
      </c>
      <c r="CE6" s="27" t="str">
        <f t="shared" si="40"/>
        <v>S</v>
      </c>
      <c r="CF6" s="26" t="str">
        <f t="shared" si="40"/>
        <v>M</v>
      </c>
      <c r="CG6" s="26" t="str">
        <f t="shared" si="40"/>
        <v>T</v>
      </c>
      <c r="CH6" s="26" t="str">
        <f t="shared" si="40"/>
        <v>W</v>
      </c>
      <c r="CI6" s="26" t="str">
        <f t="shared" si="40"/>
        <v>T</v>
      </c>
      <c r="CJ6" s="26" t="str">
        <f t="shared" si="40"/>
        <v>F</v>
      </c>
      <c r="CK6" s="26" t="str">
        <f t="shared" si="40"/>
        <v>S</v>
      </c>
      <c r="CL6" s="27" t="str">
        <f t="shared" si="40"/>
        <v>S</v>
      </c>
      <c r="CM6" s="26" t="str">
        <f t="shared" si="40"/>
        <v>M</v>
      </c>
      <c r="CN6" s="26" t="str">
        <f t="shared" si="40"/>
        <v>T</v>
      </c>
      <c r="CO6" s="26" t="str">
        <f t="shared" si="40"/>
        <v>W</v>
      </c>
      <c r="CP6" s="26" t="str">
        <f t="shared" si="40"/>
        <v>T</v>
      </c>
      <c r="CQ6" s="26" t="str">
        <f t="shared" si="40"/>
        <v>F</v>
      </c>
      <c r="CR6" s="26" t="str">
        <f t="shared" si="40"/>
        <v>S</v>
      </c>
      <c r="CS6" s="27" t="str">
        <f t="shared" si="40"/>
        <v>S</v>
      </c>
      <c r="CT6" s="26" t="str">
        <f t="shared" si="40"/>
        <v>M</v>
      </c>
      <c r="CU6" s="26" t="str">
        <f t="shared" si="40"/>
        <v>T</v>
      </c>
      <c r="CV6" s="26" t="str">
        <f t="shared" si="40"/>
        <v>W</v>
      </c>
      <c r="CW6" s="26" t="str">
        <f t="shared" si="40"/>
        <v>T</v>
      </c>
      <c r="CX6" s="26" t="str">
        <f t="shared" si="40"/>
        <v>F</v>
      </c>
      <c r="CY6" s="26" t="str">
        <f t="shared" si="40"/>
        <v>S</v>
      </c>
      <c r="CZ6" s="27" t="str">
        <f t="shared" si="40"/>
        <v>S</v>
      </c>
      <c r="DA6" s="26" t="str">
        <f t="shared" si="40"/>
        <v>M</v>
      </c>
      <c r="DB6" s="26" t="str">
        <f t="shared" si="40"/>
        <v>T</v>
      </c>
      <c r="DC6" s="26" t="str">
        <f t="shared" si="40"/>
        <v>W</v>
      </c>
      <c r="DD6" s="26" t="str">
        <f t="shared" si="40"/>
        <v>T</v>
      </c>
      <c r="DE6" s="26" t="str">
        <f t="shared" si="40"/>
        <v>F</v>
      </c>
      <c r="DF6" s="26" t="str">
        <f t="shared" si="40"/>
        <v>S</v>
      </c>
      <c r="DG6" s="27" t="str">
        <f t="shared" si="40"/>
        <v>S</v>
      </c>
    </row>
    <row r="7" spans="1:111" s="21" customFormat="1" ht="30" hidden="1" customHeight="1" thickBot="1" x14ac:dyDescent="0.2">
      <c r="A7" s="12" t="s">
        <v>18</v>
      </c>
      <c r="B7" s="28"/>
      <c r="C7" s="28"/>
      <c r="D7" s="28"/>
      <c r="F7" s="21" t="str">
        <f>IF(OR(ISBLANK(task_start),ISBLANK(task_end)),"",task_end-task_start+1)</f>
        <v/>
      </c>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row>
    <row r="8" spans="1:111" s="34" customFormat="1" ht="30" customHeight="1" thickBot="1" x14ac:dyDescent="0.2">
      <c r="A8" s="13"/>
      <c r="B8" s="30" t="s">
        <v>19</v>
      </c>
      <c r="C8" s="31"/>
      <c r="D8" s="32"/>
      <c r="E8" s="15"/>
      <c r="F8" s="4" t="str">
        <f t="shared" ref="F8:F27" si="41">IF(OR(ISBLANK(task_start),ISBLANK(task_end)),"",task_end-task_start+1)</f>
        <v/>
      </c>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row>
    <row r="9" spans="1:111" s="34" customFormat="1" ht="30" customHeight="1" thickBot="1" x14ac:dyDescent="0.2">
      <c r="A9" s="13"/>
      <c r="B9" s="35" t="s">
        <v>23</v>
      </c>
      <c r="C9" s="69">
        <f>Project_Start</f>
        <v>46062</v>
      </c>
      <c r="D9" s="69">
        <f>C9+6</f>
        <v>46068</v>
      </c>
      <c r="E9" s="15"/>
      <c r="F9" s="4">
        <f t="shared" si="41"/>
        <v>7</v>
      </c>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row>
    <row r="10" spans="1:111" s="34" customFormat="1" ht="30" customHeight="1" thickBot="1" x14ac:dyDescent="0.2">
      <c r="A10" s="13"/>
      <c r="B10" s="37" t="s">
        <v>24</v>
      </c>
      <c r="C10" s="70">
        <f>D9+1</f>
        <v>46069</v>
      </c>
      <c r="D10" s="70">
        <f>C10+6</f>
        <v>46075</v>
      </c>
      <c r="E10" s="15"/>
      <c r="F10" s="4">
        <f t="shared" si="41"/>
        <v>7</v>
      </c>
      <c r="G10" s="36"/>
      <c r="H10" s="36"/>
      <c r="I10" s="36"/>
      <c r="J10" s="36"/>
      <c r="K10" s="36"/>
      <c r="L10" s="36"/>
      <c r="M10" s="36"/>
      <c r="N10" s="36"/>
      <c r="O10" s="36"/>
      <c r="P10" s="36"/>
      <c r="Q10" s="36"/>
      <c r="R10" s="67"/>
      <c r="S10" s="38"/>
      <c r="T10" s="38"/>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row>
    <row r="11" spans="1:111" s="34" customFormat="1" ht="30" customHeight="1" thickBot="1" x14ac:dyDescent="0.2">
      <c r="A11" s="12"/>
      <c r="B11" s="37" t="s">
        <v>29</v>
      </c>
      <c r="C11" s="70">
        <v>46073</v>
      </c>
      <c r="D11" s="70">
        <f>C11</f>
        <v>46073</v>
      </c>
      <c r="E11" s="15"/>
      <c r="F11" s="4">
        <f t="shared" si="41"/>
        <v>1</v>
      </c>
      <c r="G11" s="36"/>
      <c r="H11" s="36"/>
      <c r="I11" s="36"/>
      <c r="J11" s="36"/>
      <c r="K11" s="36"/>
      <c r="L11" s="36"/>
      <c r="M11" s="36"/>
      <c r="N11" s="36"/>
      <c r="O11" s="36"/>
      <c r="P11" s="36"/>
      <c r="Q11" s="65"/>
      <c r="R11" s="68"/>
      <c r="S11" s="6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c r="DG11" s="36"/>
    </row>
    <row r="12" spans="1:111" s="34" customFormat="1" ht="30" customHeight="1" thickBot="1" x14ac:dyDescent="0.2">
      <c r="A12" s="13"/>
      <c r="B12" s="39" t="s">
        <v>42</v>
      </c>
      <c r="C12" s="40"/>
      <c r="D12" s="41"/>
      <c r="E12" s="15"/>
      <c r="F12" s="4" t="str">
        <f t="shared" si="41"/>
        <v/>
      </c>
    </row>
    <row r="13" spans="1:111" s="34" customFormat="1" ht="30" customHeight="1" thickBot="1" x14ac:dyDescent="0.2">
      <c r="A13" s="13"/>
      <c r="B13" s="42" t="s">
        <v>25</v>
      </c>
      <c r="C13" s="71">
        <f>D11+3</f>
        <v>46076</v>
      </c>
      <c r="D13" s="71">
        <f>C13+6</f>
        <v>46082</v>
      </c>
      <c r="E13" s="15"/>
      <c r="F13" s="4">
        <f t="shared" si="41"/>
        <v>7</v>
      </c>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row>
    <row r="14" spans="1:111" s="34" customFormat="1" ht="30" customHeight="1" thickBot="1" x14ac:dyDescent="0.2">
      <c r="A14" s="12"/>
      <c r="B14" s="42" t="s">
        <v>26</v>
      </c>
      <c r="C14" s="71">
        <f>D13+1</f>
        <v>46083</v>
      </c>
      <c r="D14" s="71">
        <f>C14+13</f>
        <v>46096</v>
      </c>
      <c r="E14" s="15"/>
      <c r="F14" s="4">
        <f t="shared" si="41"/>
        <v>14</v>
      </c>
      <c r="G14" s="36"/>
      <c r="H14" s="36"/>
      <c r="I14" s="36"/>
      <c r="J14" s="36"/>
      <c r="K14" s="36"/>
      <c r="L14" s="36"/>
      <c r="M14" s="36"/>
      <c r="N14" s="36"/>
      <c r="O14" s="36"/>
      <c r="P14" s="36"/>
      <c r="Q14" s="36"/>
      <c r="R14" s="36"/>
      <c r="S14" s="38"/>
      <c r="T14" s="38"/>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row>
    <row r="15" spans="1:111" s="34" customFormat="1" ht="30" customHeight="1" thickBot="1" x14ac:dyDescent="0.2">
      <c r="A15" s="12"/>
      <c r="B15" s="42" t="s">
        <v>27</v>
      </c>
      <c r="C15" s="71">
        <f>D14+1</f>
        <v>46097</v>
      </c>
      <c r="D15" s="71">
        <f>C15+6</f>
        <v>46103</v>
      </c>
      <c r="E15" s="15"/>
      <c r="F15" s="4">
        <f t="shared" si="41"/>
        <v>7</v>
      </c>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row>
    <row r="16" spans="1:111" s="34" customFormat="1" ht="30" customHeight="1" thickBot="1" x14ac:dyDescent="0.2">
      <c r="A16" s="12"/>
      <c r="B16" s="43" t="s">
        <v>30</v>
      </c>
      <c r="C16" s="44"/>
      <c r="D16" s="45"/>
      <c r="E16" s="15"/>
      <c r="F16" s="4" t="str">
        <f t="shared" si="41"/>
        <v/>
      </c>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row>
    <row r="17" spans="1:111" s="34" customFormat="1" ht="30" customHeight="1" thickBot="1" x14ac:dyDescent="0.2">
      <c r="A17" s="12"/>
      <c r="B17" s="47" t="s">
        <v>31</v>
      </c>
      <c r="C17" s="72">
        <f>D15+1</f>
        <v>46104</v>
      </c>
      <c r="D17" s="72">
        <f>C17+21</f>
        <v>46125</v>
      </c>
      <c r="E17" s="15"/>
      <c r="F17" s="4">
        <f t="shared" si="41"/>
        <v>22</v>
      </c>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row>
    <row r="18" spans="1:111" s="34" customFormat="1" ht="30" customHeight="1" thickBot="1" x14ac:dyDescent="0.2">
      <c r="A18" s="12"/>
      <c r="B18" s="47" t="s">
        <v>32</v>
      </c>
      <c r="C18" s="72">
        <f>C17</f>
        <v>46104</v>
      </c>
      <c r="D18" s="72">
        <f>C18+21</f>
        <v>46125</v>
      </c>
      <c r="E18" s="15"/>
      <c r="F18" s="4">
        <f t="shared" si="41"/>
        <v>22</v>
      </c>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row>
    <row r="19" spans="1:111" s="34" customFormat="1" ht="30" customHeight="1" thickBot="1" x14ac:dyDescent="0.2">
      <c r="A19" s="12"/>
      <c r="B19" s="47" t="s">
        <v>37</v>
      </c>
      <c r="C19" s="72">
        <f>C18+7</f>
        <v>46111</v>
      </c>
      <c r="D19" s="72">
        <f>C19+21</f>
        <v>46132</v>
      </c>
      <c r="E19" s="15"/>
      <c r="F19" s="4">
        <f t="shared" si="41"/>
        <v>22</v>
      </c>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row>
    <row r="20" spans="1:111" s="34" customFormat="1" ht="30" customHeight="1" thickBot="1" x14ac:dyDescent="0.2">
      <c r="A20" s="12"/>
      <c r="B20" s="48" t="s">
        <v>22</v>
      </c>
      <c r="C20" s="73"/>
      <c r="D20" s="74"/>
      <c r="E20" s="15"/>
      <c r="F20" s="4" t="str">
        <f t="shared" si="41"/>
        <v/>
      </c>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c r="BS20" s="49"/>
      <c r="BT20" s="49"/>
      <c r="BU20" s="49"/>
      <c r="BV20" s="49"/>
      <c r="BW20" s="49"/>
      <c r="BX20" s="49"/>
      <c r="BY20" s="49"/>
      <c r="BZ20" s="49"/>
      <c r="CA20" s="49"/>
      <c r="CB20" s="49"/>
      <c r="CC20" s="49"/>
      <c r="CD20" s="49"/>
      <c r="CE20" s="49"/>
      <c r="CF20" s="49"/>
      <c r="CG20" s="49"/>
      <c r="CH20" s="49"/>
      <c r="CI20" s="49"/>
      <c r="CJ20" s="49"/>
      <c r="CK20" s="49"/>
      <c r="CL20" s="49"/>
      <c r="CM20" s="49"/>
      <c r="CN20" s="49"/>
      <c r="CO20" s="49"/>
      <c r="CP20" s="49"/>
      <c r="CQ20" s="49"/>
      <c r="CR20" s="49"/>
      <c r="CS20" s="49"/>
      <c r="CT20" s="49"/>
      <c r="CU20" s="49"/>
      <c r="CV20" s="49"/>
      <c r="CW20" s="49"/>
      <c r="CX20" s="49"/>
      <c r="CY20" s="49"/>
      <c r="CZ20" s="49"/>
      <c r="DA20" s="49"/>
      <c r="DB20" s="49"/>
      <c r="DC20" s="49"/>
      <c r="DD20" s="49"/>
      <c r="DE20" s="49"/>
      <c r="DF20" s="49"/>
      <c r="DG20" s="49"/>
    </row>
    <row r="21" spans="1:111" s="34" customFormat="1" ht="30" customHeight="1" thickBot="1" x14ac:dyDescent="0.2">
      <c r="A21" s="12"/>
      <c r="B21" s="50" t="s">
        <v>33</v>
      </c>
      <c r="C21" s="75">
        <f>C17+7</f>
        <v>46111</v>
      </c>
      <c r="D21" s="75">
        <f>C21+21</f>
        <v>46132</v>
      </c>
      <c r="E21" s="15"/>
      <c r="F21" s="4">
        <f t="shared" si="41"/>
        <v>22</v>
      </c>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row>
    <row r="22" spans="1:111" s="34" customFormat="1" ht="30" customHeight="1" thickBot="1" x14ac:dyDescent="0.2">
      <c r="A22" s="12"/>
      <c r="B22" s="50" t="s">
        <v>34</v>
      </c>
      <c r="C22" s="75">
        <f>D21</f>
        <v>46132</v>
      </c>
      <c r="D22" s="75">
        <f>C22+14</f>
        <v>46146</v>
      </c>
      <c r="E22" s="15"/>
      <c r="F22" s="4">
        <f t="shared" si="41"/>
        <v>15</v>
      </c>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row>
    <row r="23" spans="1:111" s="34" customFormat="1" ht="30" customHeight="1" thickBot="1" x14ac:dyDescent="0.2">
      <c r="A23" s="12"/>
      <c r="B23" s="50" t="s">
        <v>36</v>
      </c>
      <c r="C23" s="75">
        <f>D22+1</f>
        <v>46147</v>
      </c>
      <c r="D23" s="75">
        <f>C23</f>
        <v>46147</v>
      </c>
      <c r="E23" s="15"/>
      <c r="F23" s="4">
        <f t="shared" si="41"/>
        <v>1</v>
      </c>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row>
    <row r="24" spans="1:111" s="34" customFormat="1" ht="30" customHeight="1" thickBot="1" x14ac:dyDescent="0.2">
      <c r="A24" s="12"/>
      <c r="B24" s="50" t="s">
        <v>35</v>
      </c>
      <c r="C24" s="75">
        <f>D23+1</f>
        <v>46148</v>
      </c>
      <c r="D24" s="75">
        <f>C24+8</f>
        <v>46156</v>
      </c>
      <c r="E24" s="15"/>
      <c r="F24" s="4">
        <f t="shared" si="41"/>
        <v>9</v>
      </c>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76"/>
      <c r="CW24" s="76"/>
      <c r="CX24" s="36"/>
      <c r="CY24" s="36"/>
      <c r="CZ24" s="36"/>
      <c r="DA24" s="36"/>
      <c r="DB24" s="36"/>
      <c r="DC24" s="36"/>
      <c r="DD24" s="36"/>
      <c r="DE24" s="36"/>
      <c r="DF24" s="36"/>
      <c r="DG24" s="36"/>
    </row>
    <row r="25" spans="1:111" s="34" customFormat="1" ht="30" customHeight="1" thickBot="1" x14ac:dyDescent="0.2">
      <c r="A25" s="12"/>
      <c r="B25" s="77" t="s">
        <v>28</v>
      </c>
      <c r="C25" s="78">
        <v>46157</v>
      </c>
      <c r="D25" s="78">
        <v>46157</v>
      </c>
      <c r="E25" s="15"/>
      <c r="F25" s="4">
        <f t="shared" si="41"/>
        <v>1</v>
      </c>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row>
    <row r="26" spans="1:111" s="34" customFormat="1" ht="30" customHeight="1" thickBot="1" x14ac:dyDescent="0.2">
      <c r="A26" s="12"/>
      <c r="B26" s="51"/>
      <c r="C26" s="52"/>
      <c r="D26" s="52"/>
      <c r="E26" s="15"/>
      <c r="F26" s="4" t="str">
        <f t="shared" si="41"/>
        <v/>
      </c>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row>
    <row r="27" spans="1:111" s="34" customFormat="1" ht="30" customHeight="1" thickBot="1" x14ac:dyDescent="0.2">
      <c r="A27" s="13"/>
      <c r="B27" s="53" t="s">
        <v>0</v>
      </c>
      <c r="C27" s="54"/>
      <c r="D27" s="55"/>
      <c r="E27" s="15"/>
      <c r="F27" s="5" t="str">
        <f t="shared" si="41"/>
        <v/>
      </c>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row>
    <row r="28" spans="1:111" ht="30" customHeight="1" x14ac:dyDescent="0.15">
      <c r="E28" s="3"/>
    </row>
    <row r="29" spans="1:111" ht="30" customHeight="1" x14ac:dyDescent="0.15">
      <c r="D29" s="14"/>
    </row>
  </sheetData>
  <mergeCells count="23">
    <mergeCell ref="A5:A6"/>
    <mergeCell ref="B5:B6"/>
    <mergeCell ref="C5:C6"/>
    <mergeCell ref="D5:D6"/>
    <mergeCell ref="O2:X2"/>
    <mergeCell ref="O1:X1"/>
    <mergeCell ref="G1:M1"/>
    <mergeCell ref="G2:M2"/>
    <mergeCell ref="BD4:BJ4"/>
    <mergeCell ref="G4:M4"/>
    <mergeCell ref="N4:T4"/>
    <mergeCell ref="U4:AA4"/>
    <mergeCell ref="AB4:AH4"/>
    <mergeCell ref="AI4:AO4"/>
    <mergeCell ref="AP4:AV4"/>
    <mergeCell ref="AW4:BC4"/>
    <mergeCell ref="CT4:CZ4"/>
    <mergeCell ref="DA4:DG4"/>
    <mergeCell ref="BK4:BQ4"/>
    <mergeCell ref="BR4:BX4"/>
    <mergeCell ref="BY4:CE4"/>
    <mergeCell ref="CF4:CL4"/>
    <mergeCell ref="CM4:CS4"/>
  </mergeCells>
  <conditionalFormatting sqref="G9:BJ11">
    <cfRule type="expression" dxfId="13" priority="70" stopIfTrue="1">
      <formula>AND(task_end&gt;=G$5,task_start&lt;H$5)</formula>
    </cfRule>
  </conditionalFormatting>
  <conditionalFormatting sqref="G13:BJ15">
    <cfRule type="expression" dxfId="12" priority="68" stopIfTrue="1">
      <formula>AND(task_end&gt;=G$5,task_start&lt;H$5)</formula>
    </cfRule>
  </conditionalFormatting>
  <conditionalFormatting sqref="G17:BJ19">
    <cfRule type="expression" dxfId="11" priority="66" stopIfTrue="1">
      <formula>AND(task_end&gt;=G$5,task_start&lt;H$5)</formula>
    </cfRule>
  </conditionalFormatting>
  <conditionalFormatting sqref="G21:BJ25">
    <cfRule type="expression" dxfId="10" priority="100" stopIfTrue="1">
      <formula>AND(task_end&gt;=G$5,task_start&lt;H$5)</formula>
    </cfRule>
    <cfRule type="expression" dxfId="9" priority="99">
      <formula>AND(task_start&lt;=G$5,ROUNDDOWN((task_end-task_start+1)*task_progress,0)+task_start-1&gt;=G$5)</formula>
    </cfRule>
  </conditionalFormatting>
  <conditionalFormatting sqref="G4:DG25">
    <cfRule type="expression" dxfId="8" priority="64">
      <formula>AND(TODAY()&gt;=G$5, TODAY()&lt;H$5)</formula>
    </cfRule>
  </conditionalFormatting>
  <conditionalFormatting sqref="G9:DG11">
    <cfRule type="expression" dxfId="7" priority="6">
      <formula>AND(task_start&lt;=G$5,ROUNDDOWN((task_end-task_start+1)*task_progress,0)+task_start-1&gt;=G$5)</formula>
    </cfRule>
  </conditionalFormatting>
  <conditionalFormatting sqref="G13:DG15">
    <cfRule type="expression" dxfId="6" priority="4">
      <formula>AND(task_start&lt;=G$5,ROUNDDOWN((task_end-task_start+1)*task_progress,0)+task_start-1&gt;=G$5)</formula>
    </cfRule>
  </conditionalFormatting>
  <conditionalFormatting sqref="G17:DG19">
    <cfRule type="expression" dxfId="5" priority="2">
      <formula>AND(task_start&lt;=G$5,ROUNDDOWN((task_end-task_start+1)*task_progress,0)+task_start-1&gt;=G$5)</formula>
    </cfRule>
  </conditionalFormatting>
  <conditionalFormatting sqref="BK9:DG11">
    <cfRule type="expression" dxfId="4" priority="7" stopIfTrue="1">
      <formula>AND(task_end&gt;=BK$5,task_start&lt;BL$5)</formula>
    </cfRule>
  </conditionalFormatting>
  <conditionalFormatting sqref="BK13:DG15">
    <cfRule type="expression" dxfId="3" priority="5" stopIfTrue="1">
      <formula>AND(task_end&gt;=BK$5,task_start&lt;BL$5)</formula>
    </cfRule>
  </conditionalFormatting>
  <conditionalFormatting sqref="BK17:DG19">
    <cfRule type="expression" dxfId="2" priority="3" stopIfTrue="1">
      <formula>AND(task_end&gt;=BK$5,task_start&lt;BL$5)</formula>
    </cfRule>
  </conditionalFormatting>
  <conditionalFormatting sqref="BK21:DG25">
    <cfRule type="expression" dxfId="1" priority="9" stopIfTrue="1">
      <formula>AND(task_end&gt;=BK$5,task_start&lt;BL$5)</formula>
    </cfRule>
    <cfRule type="expression" dxfId="0" priority="8">
      <formula>AND(task_start&lt;=BK$5,ROUNDDOWN((task_end-task_start+1)*task_progress,0)+task_start-1&gt;=BK$5)</formula>
    </cfRule>
  </conditionalFormatting>
  <dataValidations disablePrompts="1" count="13">
    <dataValidation type="whole" operator="greaterThanOrEqual" allowBlank="1" showInputMessage="1" promptTitle="Display Week" prompt="Changing this number will scroll the Gantt Chart view." sqref="O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6" xr:uid="{956902D1-D3B5-416D-BB69-9362D193BC0A}"/>
    <dataValidation allowBlank="1" showInputMessage="1" showErrorMessage="1" prompt="Phase 4's sample block starts in cell B26." sqref="A20"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7"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6" customWidth="1"/>
    <col min="2" max="16384" width="9" style="1"/>
  </cols>
  <sheetData>
    <row r="1" spans="1:2" ht="46.5" customHeight="1" x14ac:dyDescent="0.15"/>
    <row r="2" spans="1:2" s="8" customFormat="1" ht="16" x14ac:dyDescent="0.15">
      <c r="A2" s="58" t="s">
        <v>7</v>
      </c>
      <c r="B2" s="7"/>
    </row>
    <row r="3" spans="1:2" s="10" customFormat="1" ht="27" customHeight="1" x14ac:dyDescent="0.15">
      <c r="A3" s="59"/>
      <c r="B3" s="11"/>
    </row>
    <row r="4" spans="1:2" s="9" customFormat="1" ht="31" x14ac:dyDescent="0.45">
      <c r="A4" s="60" t="s">
        <v>6</v>
      </c>
    </row>
    <row r="5" spans="1:2" ht="74.25" customHeight="1" x14ac:dyDescent="0.15">
      <c r="A5" s="61" t="s">
        <v>14</v>
      </c>
    </row>
    <row r="6" spans="1:2" ht="26.25" customHeight="1" x14ac:dyDescent="0.15">
      <c r="A6" s="60" t="s">
        <v>17</v>
      </c>
    </row>
    <row r="7" spans="1:2" s="6" customFormat="1" ht="205" customHeight="1" x14ac:dyDescent="0.15">
      <c r="A7" s="62" t="s">
        <v>16</v>
      </c>
    </row>
    <row r="8" spans="1:2" s="9" customFormat="1" ht="31" x14ac:dyDescent="0.45">
      <c r="A8" s="60" t="s">
        <v>8</v>
      </c>
    </row>
    <row r="9" spans="1:2" ht="60" x14ac:dyDescent="0.15">
      <c r="A9" s="61" t="s">
        <v>15</v>
      </c>
    </row>
    <row r="10" spans="1:2" s="6" customFormat="1" ht="28" customHeight="1" x14ac:dyDescent="0.15">
      <c r="A10" s="63" t="s">
        <v>13</v>
      </c>
    </row>
    <row r="11" spans="1:2" s="9" customFormat="1" ht="31" x14ac:dyDescent="0.45">
      <c r="A11" s="60" t="s">
        <v>5</v>
      </c>
    </row>
    <row r="12" spans="1:2" ht="30" x14ac:dyDescent="0.15">
      <c r="A12" s="61" t="s">
        <v>12</v>
      </c>
    </row>
    <row r="13" spans="1:2" s="6" customFormat="1" ht="28" customHeight="1" x14ac:dyDescent="0.15">
      <c r="A13" s="63" t="s">
        <v>1</v>
      </c>
    </row>
    <row r="14" spans="1:2" s="9" customFormat="1" ht="31" x14ac:dyDescent="0.45">
      <c r="A14" s="60" t="s">
        <v>9</v>
      </c>
    </row>
    <row r="15" spans="1:2" ht="75" customHeight="1" x14ac:dyDescent="0.15">
      <c r="A15" s="61" t="s">
        <v>10</v>
      </c>
    </row>
    <row r="16" spans="1:2" ht="75" x14ac:dyDescent="0.15">
      <c r="A16" s="61" t="s">
        <v>11</v>
      </c>
    </row>
    <row r="17" spans="1:1" x14ac:dyDescent="0.15">
      <c r="A17" s="64"/>
    </row>
    <row r="18" spans="1:1" x14ac:dyDescent="0.15">
      <c r="A18" s="64"/>
    </row>
    <row r="19" spans="1:1" x14ac:dyDescent="0.15">
      <c r="A19" s="64"/>
    </row>
    <row r="20" spans="1:1" x14ac:dyDescent="0.15">
      <c r="A20" s="64"/>
    </row>
    <row r="21" spans="1:1" x14ac:dyDescent="0.15">
      <c r="A21" s="64"/>
    </row>
    <row r="22" spans="1:1" x14ac:dyDescent="0.15">
      <c r="A22" s="64"/>
    </row>
    <row r="23" spans="1:1" x14ac:dyDescent="0.15">
      <c r="A23" s="64"/>
    </row>
    <row r="24" spans="1:1" x14ac:dyDescent="0.15">
      <c r="A24" s="6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Rakul Maria Hjalmarsdóttir Tórgarð</dc:creator>
  <dc:description/>
  <cp:lastModifiedBy>Rakul Maria Hjalmarsdóttir Tórgarð</cp:lastModifiedBy>
  <dcterms:created xsi:type="dcterms:W3CDTF">2022-03-11T22:41:12Z</dcterms:created>
  <dcterms:modified xsi:type="dcterms:W3CDTF">2026-02-24T15:09:26Z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